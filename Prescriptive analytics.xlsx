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m\Downloads\"/>
    </mc:Choice>
  </mc:AlternateContent>
  <xr:revisionPtr revIDLastSave="0" documentId="13_ncr:1_{B4219F52-8CB3-46F0-B911-1B97397CDD0B}" xr6:coauthVersionLast="47" xr6:coauthVersionMax="47" xr10:uidLastSave="{00000000-0000-0000-0000-000000000000}"/>
  <bookViews>
    <workbookView xWindow="-110" yWindow="-110" windowWidth="19420" windowHeight="10300" xr2:uid="{12F91F19-59BF-4EF8-8DBD-79F904485D30}"/>
  </bookViews>
  <sheets>
    <sheet name="Sheet1" sheetId="3" r:id="rId1"/>
    <sheet name="Sheet2_STS" sheetId="4" state="veryHidden" r:id="rId2"/>
    <sheet name="Sheet1_STS" sheetId="2" state="veryHidden" r:id="rId3"/>
    <sheet name="STS_1" sheetId="6" r:id="rId4"/>
  </sheets>
  <definedNames>
    <definedName name="ChartData" localSheetId="3">STS_1!$K$5:$K$85</definedName>
    <definedName name="InputValues" localSheetId="3">STS_1!$A$5:$A$85</definedName>
    <definedName name="OutputAddresses" localSheetId="3">STS_1!$B$4:$E$4</definedName>
    <definedName name="OutputValues" localSheetId="3">STS_1!$B$5:$E$85</definedName>
    <definedName name="solver_adj" localSheetId="0" hidden="1">Sheet1!$B$24:$B$26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Sheet1!$B$24</definedName>
    <definedName name="solver_lhs2" localSheetId="0" hidden="1">Sheet1!$B$25</definedName>
    <definedName name="solver_lhs3" localSheetId="0" hidden="1">Sheet1!$B$29</definedName>
    <definedName name="solver_lhs4" localSheetId="0" hidden="1">Sheet1!$D$32:$D$33</definedName>
    <definedName name="solver_lhs5" localSheetId="0" hidden="1">Sheet1!$D$32:$D$33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Sheet1!$B$38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4</definedName>
    <definedName name="solver_rel3" localSheetId="0" hidden="1">1</definedName>
    <definedName name="solver_rel4" localSheetId="0" hidden="1">1</definedName>
    <definedName name="solver_rel5" localSheetId="0" hidden="1">3</definedName>
    <definedName name="solver_rhs1" localSheetId="0" hidden="1">"binary"</definedName>
    <definedName name="solver_rhs2" localSheetId="0" hidden="1">"integer"</definedName>
    <definedName name="solver_rhs3" localSheetId="0" hidden="1">Sheet1!$D$29</definedName>
    <definedName name="solver_rhs4" localSheetId="0" hidden="1">Sheet1!$F$32:$F$33</definedName>
    <definedName name="solver_rhs5" localSheetId="0" hidden="1">Sheet1!$B$32:$B$33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6" l="1"/>
  <c r="J4" i="6"/>
  <c r="K85" i="6" s="1"/>
  <c r="B29" i="3"/>
  <c r="B38" i="3"/>
  <c r="E39" i="3" s="1"/>
  <c r="E40" i="3" s="1"/>
  <c r="E41" i="3" s="1"/>
  <c r="D33" i="3"/>
  <c r="D32" i="3"/>
  <c r="K7" i="6" l="1"/>
  <c r="K15" i="6"/>
  <c r="K23" i="6"/>
  <c r="K31" i="6"/>
  <c r="K39" i="6"/>
  <c r="K47" i="6"/>
  <c r="K55" i="6"/>
  <c r="K63" i="6"/>
  <c r="K71" i="6"/>
  <c r="K79" i="6"/>
  <c r="K8" i="6"/>
  <c r="K16" i="6"/>
  <c r="K24" i="6"/>
  <c r="K32" i="6"/>
  <c r="K40" i="6"/>
  <c r="K48" i="6"/>
  <c r="K56" i="6"/>
  <c r="K64" i="6"/>
  <c r="K72" i="6"/>
  <c r="K80" i="6"/>
  <c r="K14" i="6"/>
  <c r="K30" i="6"/>
  <c r="K54" i="6"/>
  <c r="K70" i="6"/>
  <c r="K9" i="6"/>
  <c r="K41" i="6"/>
  <c r="K81" i="6"/>
  <c r="K22" i="6"/>
  <c r="K38" i="6"/>
  <c r="K46" i="6"/>
  <c r="K62" i="6"/>
  <c r="K78" i="6"/>
  <c r="K17" i="6"/>
  <c r="K25" i="6"/>
  <c r="K33" i="6"/>
  <c r="K49" i="6"/>
  <c r="K57" i="6"/>
  <c r="K65" i="6"/>
  <c r="K73" i="6"/>
  <c r="K10" i="6"/>
  <c r="K18" i="6"/>
  <c r="K26" i="6"/>
  <c r="K34" i="6"/>
  <c r="K42" i="6"/>
  <c r="K50" i="6"/>
  <c r="K58" i="6"/>
  <c r="K66" i="6"/>
  <c r="K74" i="6"/>
  <c r="K82" i="6"/>
  <c r="K12" i="6"/>
  <c r="K20" i="6"/>
  <c r="K28" i="6"/>
  <c r="K36" i="6"/>
  <c r="K44" i="6"/>
  <c r="K52" i="6"/>
  <c r="K60" i="6"/>
  <c r="K68" i="6"/>
  <c r="K76" i="6"/>
  <c r="K84" i="6"/>
  <c r="K6" i="6"/>
  <c r="K11" i="6"/>
  <c r="K19" i="6"/>
  <c r="K27" i="6"/>
  <c r="K35" i="6"/>
  <c r="K43" i="6"/>
  <c r="K51" i="6"/>
  <c r="K59" i="6"/>
  <c r="K67" i="6"/>
  <c r="K75" i="6"/>
  <c r="K83" i="6"/>
  <c r="K5" i="6"/>
  <c r="K13" i="6"/>
  <c r="K21" i="6"/>
  <c r="K29" i="6"/>
  <c r="K37" i="6"/>
  <c r="K45" i="6"/>
  <c r="K53" i="6"/>
  <c r="K61" i="6"/>
  <c r="K69" i="6"/>
  <c r="K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shaima abdikebir</author>
  </authors>
  <commentList>
    <comment ref="B5" authorId="0" shapeId="0" xr:uid="{4A50A475-0F19-4ECE-8D18-957260477BD5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" authorId="0" shapeId="0" xr:uid="{8A89028C-D261-4528-84F0-407DEE4323B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" authorId="0" shapeId="0" xr:uid="{1E967395-51D7-4294-BB06-9BB613906DAE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" authorId="0" shapeId="0" xr:uid="{AB1F3F14-041D-44E5-95C5-1677E6131B0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9" authorId="0" shapeId="0" xr:uid="{DAFCD57E-79AD-46F6-9225-EF91BB3FBE4C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0" authorId="0" shapeId="0" xr:uid="{257CD2F4-916C-44BD-B00C-A60EF0E9B4F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1" authorId="0" shapeId="0" xr:uid="{550922B4-24E1-48A5-9EF4-BD6D1BF79E69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2" authorId="0" shapeId="0" xr:uid="{3129049B-6FCA-45C6-A241-C167402EF327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3" authorId="0" shapeId="0" xr:uid="{84E2A6BA-8377-4946-AD06-44EB38BC213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4" authorId="0" shapeId="0" xr:uid="{8623CEB1-CD77-4905-A28C-CA2CCE5FA7E5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5" authorId="0" shapeId="0" xr:uid="{243682F5-73DB-41BD-9F61-A4BA0332004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6" authorId="0" shapeId="0" xr:uid="{18B1E395-22AB-4ABA-B9E2-B5A35835C8F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7" authorId="0" shapeId="0" xr:uid="{764CCF16-BAAC-406E-B5E3-6C506B4967D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8" authorId="0" shapeId="0" xr:uid="{0529A228-F502-456C-8245-680FD528D26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19" authorId="0" shapeId="0" xr:uid="{2996146D-1ADA-43BB-AFFE-3B687778542C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0" authorId="0" shapeId="0" xr:uid="{E49E2C0E-737A-47D1-9898-80B1F24D00D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1" authorId="0" shapeId="0" xr:uid="{1C3DC784-8236-4F61-AD5D-6EE03A25309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2" authorId="0" shapeId="0" xr:uid="{C808F01B-7BD2-4E26-A9E1-B258D98C12D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3" authorId="0" shapeId="0" xr:uid="{18B486DF-AE69-439E-8600-9344D75842D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4" authorId="0" shapeId="0" xr:uid="{F464ABFC-5B2C-46DC-B842-FB681C6A054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5" authorId="0" shapeId="0" xr:uid="{0A6BE92B-3B82-492E-A300-01E4C08105FD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6" authorId="0" shapeId="0" xr:uid="{51D20AA3-78F8-4E2E-BFB2-7A26E06F659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7" authorId="0" shapeId="0" xr:uid="{369A4CC0-3126-4801-AEBC-00CA062D7A7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8" authorId="0" shapeId="0" xr:uid="{1508DBDC-7A6A-4506-99A7-83A7F47E70C5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29" authorId="0" shapeId="0" xr:uid="{5B0B71F1-D6FA-4170-B78A-7E8CC603BBB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0" authorId="0" shapeId="0" xr:uid="{4592CA01-5CF9-4E34-9447-838015EEB939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1" authorId="0" shapeId="0" xr:uid="{693581CB-916C-496B-ABEB-8B45EE41C85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2" authorId="0" shapeId="0" xr:uid="{1D10576D-A09B-42B7-B45D-B935A2A1150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3" authorId="0" shapeId="0" xr:uid="{1628BEED-C60B-4D47-8EF3-AE6920E6DD07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4" authorId="0" shapeId="0" xr:uid="{E4B890F0-9B04-4473-8110-9AE7B26790E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5" authorId="0" shapeId="0" xr:uid="{630AA16B-905C-4F75-8E6E-9696FF82E18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6" authorId="0" shapeId="0" xr:uid="{0122E0EE-E38A-44A7-8B0A-E11B24BDF6E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7" authorId="0" shapeId="0" xr:uid="{795E58CA-2F4B-4C13-8576-05164AD26E1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8" authorId="0" shapeId="0" xr:uid="{40A77240-2EB8-495D-81D1-D312A709E78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39" authorId="0" shapeId="0" xr:uid="{F8259649-FE40-438C-9534-D118C2C3C5A9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0" authorId="0" shapeId="0" xr:uid="{92FA4406-54BE-4D37-AD96-97454B251331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1" authorId="0" shapeId="0" xr:uid="{06E61DF5-838B-4F80-BEAB-B062DBF9175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2" authorId="0" shapeId="0" xr:uid="{111A696A-0B59-4C4D-B576-0BBF5ED3584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3" authorId="0" shapeId="0" xr:uid="{60639122-357E-4FDD-9835-EC43FB96743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4" authorId="0" shapeId="0" xr:uid="{556292A1-52B2-489B-A08B-019E293EFCD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5" authorId="0" shapeId="0" xr:uid="{8AE3E70B-FE9F-46BC-8A11-E483095D94E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6" authorId="0" shapeId="0" xr:uid="{382852EE-95B9-4747-87D4-A2D31A1979D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7" authorId="0" shapeId="0" xr:uid="{2C9AFF77-C7F9-4054-B663-4917DDF2E7D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8" authorId="0" shapeId="0" xr:uid="{E4A06CB1-3711-440A-A97C-A1FC032C87E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49" authorId="0" shapeId="0" xr:uid="{547EE839-E89F-4ED8-91AC-269EE46B30C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0" authorId="0" shapeId="0" xr:uid="{88E14EE0-74ED-46D1-8928-37A879AC1FF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1" authorId="0" shapeId="0" xr:uid="{34DBCFC9-39B7-4686-B686-1107027AEF5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2" authorId="0" shapeId="0" xr:uid="{E11173C0-A28A-4B37-9BB9-7B592E60B5C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3" authorId="0" shapeId="0" xr:uid="{32B96EAE-05E3-421A-A1E2-F67A5FC8F9D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4" authorId="0" shapeId="0" xr:uid="{03FE81FB-A2F0-4437-AFFE-277AC886925E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5" authorId="0" shapeId="0" xr:uid="{CFCCB830-B46E-45EE-B3C1-EE46823FBBD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6" authorId="0" shapeId="0" xr:uid="{598C70D9-0254-4BCE-A422-681BB311F9A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7" authorId="0" shapeId="0" xr:uid="{5983966C-DD98-437A-BDD8-D140CF50610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8" authorId="0" shapeId="0" xr:uid="{F8124F79-F122-48B2-BC51-49EA0EC0CBA5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59" authorId="0" shapeId="0" xr:uid="{085FB197-0E03-4729-A115-31A00837F639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0" authorId="0" shapeId="0" xr:uid="{BA1D0AD9-B3CC-4648-B1F4-088C5B794E0D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1" authorId="0" shapeId="0" xr:uid="{CFD5030B-DCD0-42ED-8F0E-95A2A443A52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2" authorId="0" shapeId="0" xr:uid="{0D012CDA-DA6B-4466-9984-BD0853A6995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3" authorId="0" shapeId="0" xr:uid="{2EF3C4F7-831C-4E03-8C76-A99BC52E69F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4" authorId="0" shapeId="0" xr:uid="{0D6402EF-D88F-4873-ADD2-E2FE0D9C853C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5" authorId="0" shapeId="0" xr:uid="{8FC1C3D3-29A7-4573-B2B9-AE02515F85BA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6" authorId="0" shapeId="0" xr:uid="{D5840C16-E442-40FD-8208-0A67B0F902E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7" authorId="0" shapeId="0" xr:uid="{F1A9C415-AC8E-428E-B801-CFBE78C8622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8" authorId="0" shapeId="0" xr:uid="{8F74199C-6BFC-4C07-B987-84F36E2D710D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69" authorId="0" shapeId="0" xr:uid="{26E9CDAD-746C-4954-9F45-9FA6E123F561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0" authorId="0" shapeId="0" xr:uid="{239454C1-193E-42FE-BA6B-95A31BBE42B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1" authorId="0" shapeId="0" xr:uid="{7BFB785E-A28F-4887-A987-0B1A25AADD3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2" authorId="0" shapeId="0" xr:uid="{E95597CD-A320-43B4-BEDD-D279E3E2D610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3" authorId="0" shapeId="0" xr:uid="{7DBBF15C-60DB-419E-9181-DEF2BA69F84E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4" authorId="0" shapeId="0" xr:uid="{F2C78D76-5DD5-45F2-B33F-A242E3718DBF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5" authorId="0" shapeId="0" xr:uid="{F4628812-2F3B-4740-8FE0-CA0DE85E652D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6" authorId="0" shapeId="0" xr:uid="{F8EF5B70-E47E-46E8-8EAD-5E4283A87083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7" authorId="0" shapeId="0" xr:uid="{0225DCBD-930A-4C3E-8BAB-FF1B4339F60B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8" authorId="0" shapeId="0" xr:uid="{0A4B3611-57B9-4C9A-98C7-AE80A56F54E6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79" authorId="0" shapeId="0" xr:uid="{AD9BEDFC-3423-4A18-9560-8B910D60E978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0" authorId="0" shapeId="0" xr:uid="{971A22A2-5E47-40CB-A737-4FFC3AB62151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1" authorId="0" shapeId="0" xr:uid="{281255CD-68A4-4020-B4D6-4484028E73EC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2" authorId="0" shapeId="0" xr:uid="{01A0C188-D31D-468F-8249-742E36468801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3" authorId="0" shapeId="0" xr:uid="{4B29F78D-B494-4A4B-9460-7C9583B52F84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4" authorId="0" shapeId="0" xr:uid="{760365B6-F436-4303-A526-742C32CC2D62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  <comment ref="B85" authorId="0" shapeId="0" xr:uid="{EF34B708-3095-4803-BB23-D070B506F195}">
      <text>
        <r>
          <rPr>
            <sz val="9"/>
            <color indexed="81"/>
            <rFont val="Tahoma"/>
            <family val="2"/>
          </rPr>
          <t>Solver found a solution. All constraints and optimality conditions are satisfied.</t>
        </r>
      </text>
    </comment>
  </commentList>
</comments>
</file>

<file path=xl/sharedStrings.xml><?xml version="1.0" encoding="utf-8"?>
<sst xmlns="http://schemas.openxmlformats.org/spreadsheetml/2006/main" count="58" uniqueCount="44">
  <si>
    <t xml:space="preserve">Decision variables </t>
  </si>
  <si>
    <t>IsActiveMember</t>
  </si>
  <si>
    <t>Numofproducts</t>
  </si>
  <si>
    <t>Balance</t>
  </si>
  <si>
    <t xml:space="preserve">Coefficients </t>
  </si>
  <si>
    <t xml:space="preserve">Constraints </t>
  </si>
  <si>
    <t>Given information</t>
  </si>
  <si>
    <t xml:space="preserve">Actual </t>
  </si>
  <si>
    <t xml:space="preserve">Lower bound </t>
  </si>
  <si>
    <t xml:space="preserve">Upperbound </t>
  </si>
  <si>
    <t>&lt;=</t>
  </si>
  <si>
    <t xml:space="preserve">Objective Function </t>
  </si>
  <si>
    <t>CreditScore</t>
  </si>
  <si>
    <t>Gender</t>
  </si>
  <si>
    <t xml:space="preserve">Age </t>
  </si>
  <si>
    <t xml:space="preserve">Tenure </t>
  </si>
  <si>
    <t xml:space="preserve">HasCrCard </t>
  </si>
  <si>
    <t>EstimatedSalary</t>
  </si>
  <si>
    <t>Spain</t>
  </si>
  <si>
    <t>Germany</t>
  </si>
  <si>
    <t xml:space="preserve">Controllable 
 Variables </t>
  </si>
  <si>
    <t xml:space="preserve">Non-Controllable
 Variables </t>
  </si>
  <si>
    <t xml:space="preserve">&lt;= </t>
  </si>
  <si>
    <t>Hypothetical cost information</t>
  </si>
  <si>
    <t xml:space="preserve">IsActiveMember </t>
  </si>
  <si>
    <t xml:space="preserve">NumOfProducts </t>
  </si>
  <si>
    <t xml:space="preserve">Balance </t>
  </si>
  <si>
    <t xml:space="preserve">probability </t>
  </si>
  <si>
    <t>Variables</t>
  </si>
  <si>
    <t>IsActiveMember 
1 if Active, 0 if inactive</t>
  </si>
  <si>
    <t xml:space="preserve">Exited  (log odds) </t>
  </si>
  <si>
    <t>Exponent of log odds</t>
  </si>
  <si>
    <t xml:space="preserve">Intercept </t>
  </si>
  <si>
    <t xml:space="preserve">Hypothetical Budget </t>
  </si>
  <si>
    <t xml:space="preserve">Median values </t>
  </si>
  <si>
    <t>$D$29</t>
  </si>
  <si>
    <t>$B$38,$B$24:$B$26</t>
  </si>
  <si>
    <t>Budget</t>
  </si>
  <si>
    <t>Budget (cell $D$29) values along side, output cell(s) along top</t>
  </si>
  <si>
    <t>Data for chart</t>
  </si>
  <si>
    <t>$B$24:$B$26,$B$38</t>
  </si>
  <si>
    <t>One-way analysis for Solver model in Sheet1 worksheet</t>
  </si>
  <si>
    <t>NumOfProducts</t>
  </si>
  <si>
    <t>Exited (log odds)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</si>
</sst>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4" fillId="0" borderId="0" xfId="0" applyFont="1"/>
    <xf numFmtId="0" fontId="0" fillId="4" borderId="1" xfId="0" applyFill="1" applyBorder="1"/>
    <xf numFmtId="49" fontId="0" fillId="0" borderId="0" xfId="0" applyNumberFormat="1"/>
    <xf numFmtId="44" fontId="0" fillId="2" borderId="1" xfId="1" applyFont="1" applyFill="1" applyBorder="1"/>
    <xf numFmtId="0" fontId="0" fillId="0" borderId="1" xfId="0" applyBorder="1" applyAlignment="1">
      <alignment wrapText="1"/>
    </xf>
    <xf numFmtId="44" fontId="0" fillId="0" borderId="1" xfId="1" applyFont="1" applyBorder="1"/>
    <xf numFmtId="44" fontId="0" fillId="4" borderId="1" xfId="1" applyFont="1" applyFill="1" applyBorder="1"/>
    <xf numFmtId="11" fontId="0" fillId="3" borderId="0" xfId="0" applyNumberFormat="1" applyFill="1"/>
    <xf numFmtId="11" fontId="5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right" textRotation="90"/>
    </xf>
    <xf numFmtId="0" fontId="0" fillId="5" borderId="0" xfId="0" applyFill="1" applyAlignment="1">
      <alignment horizontal="right" textRotation="90"/>
    </xf>
    <xf numFmtId="0" fontId="6" fillId="0" borderId="0" xfId="0" applyFont="1"/>
    <xf numFmtId="0" fontId="0" fillId="0" borderId="3" xfId="0" applyBorder="1"/>
    <xf numFmtId="0" fontId="0" fillId="0" borderId="8" xfId="0" applyBorder="1"/>
    <xf numFmtId="0" fontId="0" fillId="0" borderId="2" xfId="0" applyBorder="1"/>
    <xf numFmtId="44" fontId="0" fillId="0" borderId="3" xfId="0" applyNumberFormat="1" applyBorder="1"/>
    <xf numFmtId="11" fontId="0" fillId="0" borderId="4" xfId="0" applyNumberFormat="1" applyBorder="1"/>
    <xf numFmtId="0" fontId="0" fillId="0" borderId="5" xfId="0" applyBorder="1"/>
    <xf numFmtId="11" fontId="0" fillId="0" borderId="6" xfId="0" applyNumberFormat="1" applyBorder="1"/>
    <xf numFmtId="0" fontId="0" fillId="0" borderId="7" xfId="0" applyBorder="1"/>
    <xf numFmtId="44" fontId="0" fillId="0" borderId="8" xfId="0" applyNumberFormat="1" applyBorder="1"/>
    <xf numFmtId="11" fontId="0" fillId="0" borderId="9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STS_1!$K$1</c:f>
          <c:strCache>
            <c:ptCount val="1"/>
            <c:pt idx="0">
              <c:v>Sensitivity of NumOfProducts to Budget</c:v>
            </c:pt>
          </c:strCache>
        </c:strRef>
      </c:tx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STS_1!$A$5:$A$85</c:f>
              <c:numCache>
                <c:formatCode>_("$"* #,##0.00_);_("$"* \(#,##0.00\);_("$"* "-"??_);_(@_)</c:formatCode>
                <c:ptCount val="81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115000</c:v>
                </c:pt>
                <c:pt idx="4">
                  <c:v>120000</c:v>
                </c:pt>
                <c:pt idx="5">
                  <c:v>125000</c:v>
                </c:pt>
                <c:pt idx="6">
                  <c:v>130000</c:v>
                </c:pt>
                <c:pt idx="7">
                  <c:v>135000</c:v>
                </c:pt>
                <c:pt idx="8">
                  <c:v>140000</c:v>
                </c:pt>
                <c:pt idx="9">
                  <c:v>145000</c:v>
                </c:pt>
                <c:pt idx="10">
                  <c:v>150000</c:v>
                </c:pt>
                <c:pt idx="11">
                  <c:v>155000</c:v>
                </c:pt>
                <c:pt idx="12">
                  <c:v>160000</c:v>
                </c:pt>
                <c:pt idx="13">
                  <c:v>165000</c:v>
                </c:pt>
                <c:pt idx="14">
                  <c:v>170000</c:v>
                </c:pt>
                <c:pt idx="15">
                  <c:v>175000</c:v>
                </c:pt>
                <c:pt idx="16">
                  <c:v>180000</c:v>
                </c:pt>
                <c:pt idx="17">
                  <c:v>185000</c:v>
                </c:pt>
                <c:pt idx="18">
                  <c:v>190000</c:v>
                </c:pt>
                <c:pt idx="19">
                  <c:v>195000</c:v>
                </c:pt>
                <c:pt idx="20">
                  <c:v>200000</c:v>
                </c:pt>
                <c:pt idx="21">
                  <c:v>205000</c:v>
                </c:pt>
                <c:pt idx="22">
                  <c:v>210000</c:v>
                </c:pt>
                <c:pt idx="23">
                  <c:v>215000</c:v>
                </c:pt>
                <c:pt idx="24">
                  <c:v>220000</c:v>
                </c:pt>
                <c:pt idx="25">
                  <c:v>225000</c:v>
                </c:pt>
                <c:pt idx="26">
                  <c:v>230000</c:v>
                </c:pt>
                <c:pt idx="27">
                  <c:v>235000</c:v>
                </c:pt>
                <c:pt idx="28">
                  <c:v>240000</c:v>
                </c:pt>
                <c:pt idx="29">
                  <c:v>245000</c:v>
                </c:pt>
                <c:pt idx="30">
                  <c:v>250000</c:v>
                </c:pt>
                <c:pt idx="31">
                  <c:v>255000</c:v>
                </c:pt>
                <c:pt idx="32">
                  <c:v>260000</c:v>
                </c:pt>
                <c:pt idx="33">
                  <c:v>265000</c:v>
                </c:pt>
                <c:pt idx="34">
                  <c:v>270000</c:v>
                </c:pt>
                <c:pt idx="35">
                  <c:v>275000</c:v>
                </c:pt>
                <c:pt idx="36">
                  <c:v>280000</c:v>
                </c:pt>
                <c:pt idx="37">
                  <c:v>285000</c:v>
                </c:pt>
                <c:pt idx="38">
                  <c:v>290000</c:v>
                </c:pt>
                <c:pt idx="39">
                  <c:v>295000</c:v>
                </c:pt>
                <c:pt idx="40">
                  <c:v>300000</c:v>
                </c:pt>
                <c:pt idx="41">
                  <c:v>305000</c:v>
                </c:pt>
                <c:pt idx="42">
                  <c:v>310000</c:v>
                </c:pt>
                <c:pt idx="43">
                  <c:v>315000</c:v>
                </c:pt>
                <c:pt idx="44">
                  <c:v>320000</c:v>
                </c:pt>
                <c:pt idx="45">
                  <c:v>325000</c:v>
                </c:pt>
                <c:pt idx="46">
                  <c:v>330000</c:v>
                </c:pt>
                <c:pt idx="47">
                  <c:v>335000</c:v>
                </c:pt>
                <c:pt idx="48">
                  <c:v>340000</c:v>
                </c:pt>
                <c:pt idx="49">
                  <c:v>345000</c:v>
                </c:pt>
                <c:pt idx="50">
                  <c:v>350000</c:v>
                </c:pt>
                <c:pt idx="51">
                  <c:v>355000</c:v>
                </c:pt>
                <c:pt idx="52">
                  <c:v>360000</c:v>
                </c:pt>
                <c:pt idx="53">
                  <c:v>365000</c:v>
                </c:pt>
                <c:pt idx="54">
                  <c:v>370000</c:v>
                </c:pt>
                <c:pt idx="55">
                  <c:v>375000</c:v>
                </c:pt>
                <c:pt idx="56">
                  <c:v>380000</c:v>
                </c:pt>
                <c:pt idx="57">
                  <c:v>385000</c:v>
                </c:pt>
                <c:pt idx="58">
                  <c:v>390000</c:v>
                </c:pt>
                <c:pt idx="59">
                  <c:v>395000</c:v>
                </c:pt>
                <c:pt idx="60">
                  <c:v>400000</c:v>
                </c:pt>
                <c:pt idx="61">
                  <c:v>405000</c:v>
                </c:pt>
                <c:pt idx="62">
                  <c:v>410000</c:v>
                </c:pt>
                <c:pt idx="63">
                  <c:v>415000</c:v>
                </c:pt>
                <c:pt idx="64">
                  <c:v>420000</c:v>
                </c:pt>
                <c:pt idx="65">
                  <c:v>425000</c:v>
                </c:pt>
                <c:pt idx="66">
                  <c:v>430000</c:v>
                </c:pt>
                <c:pt idx="67">
                  <c:v>435000</c:v>
                </c:pt>
                <c:pt idx="68">
                  <c:v>440000</c:v>
                </c:pt>
                <c:pt idx="69">
                  <c:v>445000</c:v>
                </c:pt>
                <c:pt idx="70">
                  <c:v>450000</c:v>
                </c:pt>
                <c:pt idx="71">
                  <c:v>455000</c:v>
                </c:pt>
                <c:pt idx="72">
                  <c:v>460000</c:v>
                </c:pt>
                <c:pt idx="73">
                  <c:v>465000</c:v>
                </c:pt>
                <c:pt idx="74">
                  <c:v>470000</c:v>
                </c:pt>
                <c:pt idx="75">
                  <c:v>475000</c:v>
                </c:pt>
                <c:pt idx="76">
                  <c:v>480000</c:v>
                </c:pt>
                <c:pt idx="77">
                  <c:v>485000</c:v>
                </c:pt>
                <c:pt idx="78">
                  <c:v>490000</c:v>
                </c:pt>
                <c:pt idx="79">
                  <c:v>495000</c:v>
                </c:pt>
                <c:pt idx="80">
                  <c:v>500000</c:v>
                </c:pt>
              </c:numCache>
            </c:numRef>
          </c:cat>
          <c:val>
            <c:numRef>
              <c:f>STS_1!$K$5:$K$85</c:f>
              <c:numCache>
                <c:formatCode>General</c:formatCode>
                <c:ptCount val="8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8-4E6C-A9E5-7A86A11E9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5282416"/>
        <c:axId val="1875276176"/>
      </c:lineChart>
      <c:catAx>
        <c:axId val="1875282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Budget ($D$29)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875276176"/>
        <c:crosses val="autoZero"/>
        <c:auto val="1"/>
        <c:lblAlgn val="ctr"/>
        <c:lblOffset val="100"/>
        <c:noMultiLvlLbl val="0"/>
      </c:catAx>
      <c:valAx>
        <c:axId val="1875276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5282416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15875" cap="flat" cmpd="sng" algn="ctr">
      <a:solidFill>
        <a:schemeClr val="accent1">
          <a:lumMod val="100000"/>
        </a:schemeClr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314534</xdr:colOff>
      <xdr:row>34</xdr:row>
      <xdr:rowOff>112758</xdr:rowOff>
    </xdr:from>
    <xdr:to>
      <xdr:col>4</xdr:col>
      <xdr:colOff>1341216</xdr:colOff>
      <xdr:row>37</xdr:row>
      <xdr:rowOff>23739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067871-E26F-47B7-8E13-AA194AA51114}"/>
            </a:ext>
          </a:extLst>
        </xdr:cNvPr>
        <xdr:cNvSpPr txBox="1"/>
      </xdr:nvSpPr>
      <xdr:spPr>
        <a:xfrm>
          <a:off x="3591134" y="7091408"/>
          <a:ext cx="2258582" cy="514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Find the</a:t>
          </a:r>
          <a:r>
            <a:rPr lang="en-US" sz="1100" baseline="0"/>
            <a:t> p</a:t>
          </a:r>
          <a:r>
            <a:rPr lang="en-US" sz="1100"/>
            <a:t>robability of exited using</a:t>
          </a:r>
          <a:r>
            <a:rPr lang="en-US" sz="1100" baseline="0"/>
            <a:t> the objective function </a:t>
          </a:r>
        </a:p>
        <a:p>
          <a:endParaRPr lang="en-US" sz="1100"/>
        </a:p>
      </xdr:txBody>
    </xdr:sp>
    <xdr:clientData/>
  </xdr:twoCellAnchor>
  <xdr:twoCellAnchor>
    <xdr:from>
      <xdr:col>0</xdr:col>
      <xdr:colOff>69850</xdr:colOff>
      <xdr:row>0</xdr:row>
      <xdr:rowOff>114300</xdr:rowOff>
    </xdr:from>
    <xdr:to>
      <xdr:col>3</xdr:col>
      <xdr:colOff>157622</xdr:colOff>
      <xdr:row>3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23C079A-0B27-441D-B4F6-4A993EE05109}"/>
            </a:ext>
          </a:extLst>
        </xdr:cNvPr>
        <xdr:cNvSpPr txBox="1"/>
      </xdr:nvSpPr>
      <xdr:spPr>
        <a:xfrm>
          <a:off x="69850" y="114300"/>
          <a:ext cx="3211972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Prescriptive Analytics</a:t>
          </a:r>
        </a:p>
        <a:p>
          <a:pPr algn="ctr"/>
          <a:endParaRPr lang="en-US" sz="1100" b="1"/>
        </a:p>
        <a:p>
          <a:pPr algn="ctr"/>
          <a:r>
            <a:rPr lang="en-US" sz="1100" b="1"/>
            <a:t>Customer</a:t>
          </a:r>
          <a:r>
            <a:rPr lang="en-US" sz="1100" b="1" baseline="0"/>
            <a:t> Exiting (Churn optimization)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438150</xdr:colOff>
      <xdr:row>85</xdr:row>
      <xdr:rowOff>152400</xdr:rowOff>
    </xdr:from>
    <xdr:to>
      <xdr:col>17</xdr:col>
      <xdr:colOff>266700</xdr:colOff>
      <xdr:row>102</xdr:row>
      <xdr:rowOff>69850</xdr:rowOff>
    </xdr:to>
    <xdr:graphicFrame macro="">
      <xdr:nvGraphicFramePr>
        <xdr:cNvPr id="2" name="STS_1_Chart">
          <a:extLst>
            <a:ext uri="{FF2B5EF4-FFF2-40B4-BE49-F238E27FC236}">
              <a16:creationId xmlns:a16="http://schemas.microsoft.com/office/drawing/2014/main" id="{6B3BF225-476E-402E-D016-27F579C24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508000</xdr:colOff>
      <xdr:row>3</xdr:row>
      <xdr:rowOff>19050</xdr:rowOff>
    </xdr:from>
    <xdr:to>
      <xdr:col>15</xdr:col>
      <xdr:colOff>508000</xdr:colOff>
      <xdr:row>3</xdr:row>
      <xdr:rowOff>781050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43B432-A202-36C3-F32C-BA7ED34D6A61}"/>
            </a:ext>
          </a:extLst>
        </xdr:cNvPr>
        <xdr:cNvSpPr txBox="1"/>
      </xdr:nvSpPr>
      <xdr:spPr>
        <a:xfrm>
          <a:off x="7556500" y="571500"/>
          <a:ext cx="2438400" cy="762000"/>
        </a:xfrm>
        <a:prstGeom prst="rect">
          <a:avLst/>
        </a:prstGeom>
        <a:solidFill>
          <a:schemeClr val="lt1"/>
        </a:solidFill>
        <a:ln w="15875" cap="flat" cmpd="sng" algn="ctr">
          <a:solidFill>
            <a:schemeClr val="accent1">
              <a:lumMod val="10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When you select an output from the dropdown list in cell $K$4, the chart will adapt to that output.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AFF5-B5EF-41A1-A16D-45575E8118E8}">
  <dimension ref="A6:F41"/>
  <sheetViews>
    <sheetView tabSelected="1" topLeftCell="A21" workbookViewId="0">
      <selection activeCell="D13" sqref="D13"/>
    </sheetView>
  </sheetViews>
  <sheetFormatPr defaultRowHeight="14.5" x14ac:dyDescent="0.35"/>
  <cols>
    <col min="1" max="1" width="21.453125" bestFit="1" customWidth="1"/>
    <col min="2" max="2" width="12.453125" bestFit="1" customWidth="1"/>
    <col min="3" max="3" width="10.81640625" customWidth="1"/>
    <col min="4" max="4" width="17.36328125" bestFit="1" customWidth="1"/>
    <col min="5" max="5" width="26" bestFit="1" customWidth="1"/>
    <col min="6" max="6" width="12.1796875" bestFit="1" customWidth="1"/>
  </cols>
  <sheetData>
    <row r="6" spans="1:6" ht="18.5" x14ac:dyDescent="0.45">
      <c r="A6" s="5" t="s">
        <v>6</v>
      </c>
    </row>
    <row r="7" spans="1:6" ht="13" customHeight="1" x14ac:dyDescent="0.35">
      <c r="A7" s="1"/>
      <c r="E7" s="1" t="s">
        <v>23</v>
      </c>
    </row>
    <row r="8" spans="1:6" ht="29" x14ac:dyDescent="0.35">
      <c r="A8" s="14" t="s">
        <v>20</v>
      </c>
      <c r="B8" s="15" t="s">
        <v>4</v>
      </c>
      <c r="C8" s="1"/>
      <c r="E8" s="3" t="s">
        <v>24</v>
      </c>
      <c r="F8" s="8">
        <v>20</v>
      </c>
    </row>
    <row r="9" spans="1:6" x14ac:dyDescent="0.35">
      <c r="A9" s="3" t="s">
        <v>1</v>
      </c>
      <c r="B9" s="4">
        <v>0.91800000000000004</v>
      </c>
      <c r="E9" s="3" t="s">
        <v>25</v>
      </c>
      <c r="F9" s="8">
        <v>17.5</v>
      </c>
    </row>
    <row r="10" spans="1:6" x14ac:dyDescent="0.35">
      <c r="A10" s="3" t="s">
        <v>25</v>
      </c>
      <c r="B10" s="4">
        <v>8.3390000000000006E-2</v>
      </c>
      <c r="E10" s="3" t="s">
        <v>26</v>
      </c>
      <c r="F10" s="8">
        <v>12.5</v>
      </c>
    </row>
    <row r="11" spans="1:6" x14ac:dyDescent="0.35">
      <c r="A11" s="3" t="s">
        <v>3</v>
      </c>
      <c r="B11" s="4">
        <v>-2.8480000000000001E-6</v>
      </c>
    </row>
    <row r="12" spans="1:6" x14ac:dyDescent="0.35">
      <c r="E12" s="3" t="s">
        <v>32</v>
      </c>
      <c r="F12" s="13">
        <v>2.4380000000000002</v>
      </c>
    </row>
    <row r="13" spans="1:6" s="16" customFormat="1" ht="29" x14ac:dyDescent="0.35">
      <c r="A13" s="14" t="s">
        <v>21</v>
      </c>
      <c r="B13" s="15" t="s">
        <v>4</v>
      </c>
      <c r="C13" s="14" t="s">
        <v>34</v>
      </c>
    </row>
    <row r="14" spans="1:6" x14ac:dyDescent="0.35">
      <c r="A14" s="3" t="s">
        <v>12</v>
      </c>
      <c r="B14" s="4">
        <v>6.7230000000000002E-4</v>
      </c>
      <c r="C14" s="4">
        <v>649</v>
      </c>
    </row>
    <row r="15" spans="1:6" x14ac:dyDescent="0.35">
      <c r="A15" s="3" t="s">
        <v>13</v>
      </c>
      <c r="B15" s="4">
        <v>0.5857</v>
      </c>
      <c r="C15" s="4">
        <v>1</v>
      </c>
    </row>
    <row r="16" spans="1:6" x14ac:dyDescent="0.35">
      <c r="A16" s="3" t="s">
        <v>14</v>
      </c>
      <c r="B16" s="4">
        <v>-8.1240000000000007E-2</v>
      </c>
      <c r="C16" s="4">
        <v>40</v>
      </c>
    </row>
    <row r="17" spans="1:6" x14ac:dyDescent="0.35">
      <c r="A17" s="3" t="s">
        <v>15</v>
      </c>
      <c r="B17" s="4">
        <v>1.225E-2</v>
      </c>
      <c r="C17" s="4">
        <v>5</v>
      </c>
    </row>
    <row r="18" spans="1:6" x14ac:dyDescent="0.35">
      <c r="A18" s="3" t="s">
        <v>16</v>
      </c>
      <c r="B18" s="4">
        <v>3.8629999999999998E-2</v>
      </c>
      <c r="C18" s="4">
        <v>1</v>
      </c>
    </row>
    <row r="19" spans="1:6" x14ac:dyDescent="0.35">
      <c r="A19" s="3" t="s">
        <v>17</v>
      </c>
      <c r="B19" s="4">
        <v>-4.75E-7</v>
      </c>
      <c r="C19" s="4">
        <v>101377.29</v>
      </c>
    </row>
    <row r="20" spans="1:6" x14ac:dyDescent="0.35">
      <c r="A20" s="3" t="s">
        <v>18</v>
      </c>
      <c r="B20" s="4">
        <v>-1.0549999999999999E-3</v>
      </c>
      <c r="C20" s="4">
        <v>0</v>
      </c>
    </row>
    <row r="21" spans="1:6" x14ac:dyDescent="0.35">
      <c r="A21" s="3" t="s">
        <v>19</v>
      </c>
      <c r="B21" s="4">
        <v>-0.78510000000000002</v>
      </c>
      <c r="C21" s="4">
        <v>0</v>
      </c>
    </row>
    <row r="23" spans="1:6" ht="18.5" x14ac:dyDescent="0.45">
      <c r="A23" s="5" t="s">
        <v>0</v>
      </c>
    </row>
    <row r="24" spans="1:6" ht="29" x14ac:dyDescent="0.35">
      <c r="A24" s="9" t="s">
        <v>29</v>
      </c>
      <c r="B24" s="6">
        <v>0</v>
      </c>
      <c r="D24" s="2"/>
      <c r="E24" s="2"/>
    </row>
    <row r="25" spans="1:6" x14ac:dyDescent="0.35">
      <c r="A25" s="3" t="s">
        <v>2</v>
      </c>
      <c r="B25" s="6">
        <v>1</v>
      </c>
    </row>
    <row r="26" spans="1:6" x14ac:dyDescent="0.35">
      <c r="A26" s="3" t="s">
        <v>3</v>
      </c>
      <c r="B26" s="11">
        <v>9998</v>
      </c>
    </row>
    <row r="28" spans="1:6" ht="18.5" x14ac:dyDescent="0.45">
      <c r="A28" s="5" t="s">
        <v>5</v>
      </c>
    </row>
    <row r="29" spans="1:6" x14ac:dyDescent="0.35">
      <c r="A29" s="3" t="s">
        <v>33</v>
      </c>
      <c r="B29" s="3">
        <f>SUMPRODUCT(B24:B26,F8:F10)</f>
        <v>124992.5</v>
      </c>
      <c r="C29" s="10" t="s">
        <v>22</v>
      </c>
      <c r="D29" s="10">
        <v>500000</v>
      </c>
    </row>
    <row r="31" spans="1:6" x14ac:dyDescent="0.35">
      <c r="A31" s="3" t="s">
        <v>28</v>
      </c>
      <c r="B31" s="3" t="s">
        <v>8</v>
      </c>
      <c r="C31" s="3"/>
      <c r="D31" s="3" t="s">
        <v>7</v>
      </c>
      <c r="E31" s="3"/>
      <c r="F31" s="3" t="s">
        <v>9</v>
      </c>
    </row>
    <row r="32" spans="1:6" x14ac:dyDescent="0.35">
      <c r="A32" s="3" t="s">
        <v>2</v>
      </c>
      <c r="B32" s="4">
        <v>1</v>
      </c>
      <c r="C32" s="3" t="s">
        <v>10</v>
      </c>
      <c r="D32" s="3">
        <f>B25</f>
        <v>1</v>
      </c>
      <c r="E32" s="3" t="s">
        <v>10</v>
      </c>
      <c r="F32" s="4">
        <v>5</v>
      </c>
    </row>
    <row r="33" spans="1:6" x14ac:dyDescent="0.35">
      <c r="A33" s="3" t="s">
        <v>3</v>
      </c>
      <c r="B33" s="4">
        <v>0</v>
      </c>
      <c r="C33" s="3" t="s">
        <v>10</v>
      </c>
      <c r="D33" s="10">
        <f>B26</f>
        <v>9998</v>
      </c>
      <c r="E33" s="3" t="s">
        <v>10</v>
      </c>
      <c r="F33" s="8">
        <v>260000</v>
      </c>
    </row>
    <row r="37" spans="1:6" ht="18.5" x14ac:dyDescent="0.45">
      <c r="A37" s="5" t="s">
        <v>11</v>
      </c>
    </row>
    <row r="38" spans="1:6" x14ac:dyDescent="0.35">
      <c r="A38" t="s">
        <v>30</v>
      </c>
      <c r="B38" s="12">
        <f>SUMPRODUCT(B24:B26,B9:B11)+SUMPRODUCT(B14:B21,C14:C21)+F12</f>
        <v>0.31706418324999985</v>
      </c>
    </row>
    <row r="39" spans="1:6" x14ac:dyDescent="0.35">
      <c r="D39" s="3" t="s">
        <v>30</v>
      </c>
      <c r="E39" s="3">
        <f>B38</f>
        <v>0.31706418324999985</v>
      </c>
    </row>
    <row r="40" spans="1:6" x14ac:dyDescent="0.35">
      <c r="D40" s="3" t="s">
        <v>31</v>
      </c>
      <c r="E40" s="3">
        <f>EXP(E39)</f>
        <v>1.3730906985208786</v>
      </c>
    </row>
    <row r="41" spans="1:6" x14ac:dyDescent="0.35">
      <c r="D41" s="3" t="s">
        <v>27</v>
      </c>
      <c r="E41" s="3">
        <f>E40/(1+E40)</f>
        <v>0.57860860496259614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CFCE-A178-4C3E-846A-16212C44F54D}">
  <dimension ref="A1:B15"/>
  <sheetViews>
    <sheetView workbookViewId="0"/>
  </sheetViews>
  <sheetFormatPr defaultRowHeight="14.5" x14ac:dyDescent="0.35"/>
  <sheetData>
    <row r="1" spans="1:2" x14ac:dyDescent="0.35">
      <c r="A1">
        <v>1</v>
      </c>
    </row>
    <row r="2" spans="1:2" x14ac:dyDescent="0.35">
      <c r="A2" t="s">
        <v>35</v>
      </c>
    </row>
    <row r="3" spans="1:2" x14ac:dyDescent="0.35">
      <c r="A3">
        <v>1</v>
      </c>
    </row>
    <row r="4" spans="1:2" x14ac:dyDescent="0.35">
      <c r="A4">
        <v>100000</v>
      </c>
    </row>
    <row r="5" spans="1:2" x14ac:dyDescent="0.35">
      <c r="A5">
        <v>500000</v>
      </c>
    </row>
    <row r="6" spans="1:2" x14ac:dyDescent="0.35">
      <c r="A6">
        <v>10000</v>
      </c>
    </row>
    <row r="8" spans="1:2" x14ac:dyDescent="0.35">
      <c r="A8" s="7"/>
      <c r="B8" s="7"/>
    </row>
    <row r="9" spans="1:2" x14ac:dyDescent="0.35">
      <c r="A9" t="s">
        <v>36</v>
      </c>
    </row>
    <row r="10" spans="1:2" x14ac:dyDescent="0.35">
      <c r="A10" t="s">
        <v>37</v>
      </c>
    </row>
    <row r="15" spans="1:2" x14ac:dyDescent="0.35">
      <c r="B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649E-72F5-484C-8177-D991E3895559}">
  <dimension ref="A1:B15"/>
  <sheetViews>
    <sheetView workbookViewId="0"/>
  </sheetViews>
  <sheetFormatPr defaultRowHeight="14.5" x14ac:dyDescent="0.35"/>
  <sheetData>
    <row r="1" spans="1:2" x14ac:dyDescent="0.35">
      <c r="A1">
        <v>1</v>
      </c>
    </row>
    <row r="2" spans="1:2" x14ac:dyDescent="0.35">
      <c r="A2" t="s">
        <v>35</v>
      </c>
    </row>
    <row r="3" spans="1:2" x14ac:dyDescent="0.35">
      <c r="A3">
        <v>1</v>
      </c>
    </row>
    <row r="4" spans="1:2" x14ac:dyDescent="0.35">
      <c r="A4">
        <v>100000</v>
      </c>
    </row>
    <row r="5" spans="1:2" x14ac:dyDescent="0.35">
      <c r="A5">
        <v>500000</v>
      </c>
    </row>
    <row r="6" spans="1:2" x14ac:dyDescent="0.35">
      <c r="A6">
        <v>5000</v>
      </c>
    </row>
    <row r="8" spans="1:2" x14ac:dyDescent="0.35">
      <c r="A8" s="7"/>
      <c r="B8" s="7"/>
    </row>
    <row r="9" spans="1:2" x14ac:dyDescent="0.35">
      <c r="A9" t="s">
        <v>40</v>
      </c>
    </row>
    <row r="10" spans="1:2" x14ac:dyDescent="0.35">
      <c r="A10" t="s">
        <v>37</v>
      </c>
    </row>
    <row r="15" spans="1:2" x14ac:dyDescent="0.35">
      <c r="B1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5FAE-7D60-4B5B-8664-4943E48472C7}">
  <dimension ref="A1:K85"/>
  <sheetViews>
    <sheetView topLeftCell="A119" workbookViewId="0">
      <selection activeCell="H12" sqref="H12"/>
    </sheetView>
  </sheetViews>
  <sheetFormatPr defaultRowHeight="14.5" x14ac:dyDescent="0.35"/>
  <cols>
    <col min="1" max="1" width="12.1796875" bestFit="1" customWidth="1"/>
    <col min="4" max="4" width="10.1796875" bestFit="1" customWidth="1"/>
  </cols>
  <sheetData>
    <row r="1" spans="1:11" x14ac:dyDescent="0.35">
      <c r="A1" s="1" t="s">
        <v>41</v>
      </c>
      <c r="K1" s="20" t="str">
        <f>CONCATENATE("Sensitivity of ",$K$4," to ","Budget")</f>
        <v>Sensitivity of NumOfProducts to Budget</v>
      </c>
    </row>
    <row r="3" spans="1:11" x14ac:dyDescent="0.35">
      <c r="A3" t="s">
        <v>38</v>
      </c>
      <c r="K3" t="s">
        <v>39</v>
      </c>
    </row>
    <row r="4" spans="1:11" ht="77.5" x14ac:dyDescent="0.35">
      <c r="B4" s="18" t="s">
        <v>1</v>
      </c>
      <c r="C4" s="18" t="s">
        <v>42</v>
      </c>
      <c r="D4" s="18" t="s">
        <v>3</v>
      </c>
      <c r="E4" s="18" t="s">
        <v>43</v>
      </c>
      <c r="J4" s="20">
        <f>MATCH($K$4,OutputAddresses,0)</f>
        <v>2</v>
      </c>
      <c r="K4" s="19" t="s">
        <v>42</v>
      </c>
    </row>
    <row r="5" spans="1:11" x14ac:dyDescent="0.35">
      <c r="A5" s="17">
        <v>100000</v>
      </c>
      <c r="B5" s="23">
        <v>0</v>
      </c>
      <c r="C5" s="21">
        <v>1</v>
      </c>
      <c r="D5" s="24">
        <v>7998.6</v>
      </c>
      <c r="E5" s="25">
        <v>0.32275847444999961</v>
      </c>
      <c r="K5">
        <f>INDEX(OutputValues,1,$J$4)</f>
        <v>1</v>
      </c>
    </row>
    <row r="6" spans="1:11" x14ac:dyDescent="0.35">
      <c r="A6" s="17">
        <v>105000</v>
      </c>
      <c r="B6" s="26">
        <v>0</v>
      </c>
      <c r="C6">
        <v>1</v>
      </c>
      <c r="D6" s="17">
        <v>8398.6</v>
      </c>
      <c r="E6" s="27">
        <v>0.32161927444999971</v>
      </c>
      <c r="K6">
        <f>INDEX(OutputValues,2,$J$4)</f>
        <v>1</v>
      </c>
    </row>
    <row r="7" spans="1:11" x14ac:dyDescent="0.35">
      <c r="A7" s="17">
        <v>110000</v>
      </c>
      <c r="B7" s="26">
        <v>0</v>
      </c>
      <c r="C7">
        <v>1</v>
      </c>
      <c r="D7" s="17">
        <v>8798.6</v>
      </c>
      <c r="E7" s="27">
        <v>0.32048007444999982</v>
      </c>
      <c r="K7">
        <f>INDEX(OutputValues,3,$J$4)</f>
        <v>1</v>
      </c>
    </row>
    <row r="8" spans="1:11" x14ac:dyDescent="0.35">
      <c r="A8" s="17">
        <v>115000</v>
      </c>
      <c r="B8" s="26">
        <v>0</v>
      </c>
      <c r="C8">
        <v>1</v>
      </c>
      <c r="D8" s="17">
        <v>9198.6</v>
      </c>
      <c r="E8" s="27">
        <v>0.31934087444999992</v>
      </c>
      <c r="K8">
        <f>INDEX(OutputValues,4,$J$4)</f>
        <v>1</v>
      </c>
    </row>
    <row r="9" spans="1:11" x14ac:dyDescent="0.35">
      <c r="A9" s="17">
        <v>120000</v>
      </c>
      <c r="B9" s="26">
        <v>0</v>
      </c>
      <c r="C9">
        <v>1</v>
      </c>
      <c r="D9" s="17">
        <v>9598.6</v>
      </c>
      <c r="E9" s="27">
        <v>0.31820167444999958</v>
      </c>
      <c r="K9">
        <f>INDEX(OutputValues,5,$J$4)</f>
        <v>1</v>
      </c>
    </row>
    <row r="10" spans="1:11" x14ac:dyDescent="0.35">
      <c r="A10" s="17">
        <v>125000</v>
      </c>
      <c r="B10" s="26">
        <v>0</v>
      </c>
      <c r="C10">
        <v>1</v>
      </c>
      <c r="D10" s="17">
        <v>9998</v>
      </c>
      <c r="E10" s="27">
        <v>0.31706418324999985</v>
      </c>
      <c r="K10">
        <f>INDEX(OutputValues,6,$J$4)</f>
        <v>1</v>
      </c>
    </row>
    <row r="11" spans="1:11" x14ac:dyDescent="0.35">
      <c r="A11" s="17">
        <v>130000</v>
      </c>
      <c r="B11" s="26">
        <v>0</v>
      </c>
      <c r="C11">
        <v>1</v>
      </c>
      <c r="D11" s="17">
        <v>9998</v>
      </c>
      <c r="E11" s="27">
        <v>0.31706418324999985</v>
      </c>
      <c r="K11">
        <f>INDEX(OutputValues,7,$J$4)</f>
        <v>1</v>
      </c>
    </row>
    <row r="12" spans="1:11" x14ac:dyDescent="0.35">
      <c r="A12" s="17">
        <v>135000</v>
      </c>
      <c r="B12" s="26">
        <v>0</v>
      </c>
      <c r="C12">
        <v>1</v>
      </c>
      <c r="D12" s="17">
        <v>9998</v>
      </c>
      <c r="E12" s="27">
        <v>0.31706418324999985</v>
      </c>
      <c r="K12">
        <f>INDEX(OutputValues,8,$J$4)</f>
        <v>1</v>
      </c>
    </row>
    <row r="13" spans="1:11" x14ac:dyDescent="0.35">
      <c r="A13" s="17">
        <v>140000</v>
      </c>
      <c r="B13" s="26">
        <v>0</v>
      </c>
      <c r="C13">
        <v>1</v>
      </c>
      <c r="D13" s="17">
        <v>9998</v>
      </c>
      <c r="E13" s="27">
        <v>0.31706418324999985</v>
      </c>
      <c r="K13">
        <f>INDEX(OutputValues,9,$J$4)</f>
        <v>1</v>
      </c>
    </row>
    <row r="14" spans="1:11" x14ac:dyDescent="0.35">
      <c r="A14" s="17">
        <v>145000</v>
      </c>
      <c r="B14" s="26">
        <v>0</v>
      </c>
      <c r="C14">
        <v>1</v>
      </c>
      <c r="D14" s="17">
        <v>9998</v>
      </c>
      <c r="E14" s="27">
        <v>0.31706418324999985</v>
      </c>
      <c r="K14">
        <f>INDEX(OutputValues,10,$J$4)</f>
        <v>1</v>
      </c>
    </row>
    <row r="15" spans="1:11" x14ac:dyDescent="0.35">
      <c r="A15" s="17">
        <v>150000</v>
      </c>
      <c r="B15" s="26">
        <v>0</v>
      </c>
      <c r="C15">
        <v>1</v>
      </c>
      <c r="D15" s="17">
        <v>9998</v>
      </c>
      <c r="E15" s="27">
        <v>0.31706418324999985</v>
      </c>
      <c r="K15">
        <f>INDEX(OutputValues,11,$J$4)</f>
        <v>1</v>
      </c>
    </row>
    <row r="16" spans="1:11" x14ac:dyDescent="0.35">
      <c r="A16" s="17">
        <v>155000</v>
      </c>
      <c r="B16" s="26">
        <v>0</v>
      </c>
      <c r="C16">
        <v>1</v>
      </c>
      <c r="D16" s="17">
        <v>9998</v>
      </c>
      <c r="E16" s="27">
        <v>0.31706418324999985</v>
      </c>
      <c r="K16">
        <f>INDEX(OutputValues,12,$J$4)</f>
        <v>1</v>
      </c>
    </row>
    <row r="17" spans="1:11" x14ac:dyDescent="0.35">
      <c r="A17" s="17">
        <v>160000</v>
      </c>
      <c r="B17" s="26">
        <v>0</v>
      </c>
      <c r="C17">
        <v>1</v>
      </c>
      <c r="D17" s="17">
        <v>9998</v>
      </c>
      <c r="E17" s="27">
        <v>0.31706418324999985</v>
      </c>
      <c r="K17">
        <f>INDEX(OutputValues,13,$J$4)</f>
        <v>1</v>
      </c>
    </row>
    <row r="18" spans="1:11" x14ac:dyDescent="0.35">
      <c r="A18" s="17">
        <v>165000</v>
      </c>
      <c r="B18" s="26">
        <v>0</v>
      </c>
      <c r="C18">
        <v>1</v>
      </c>
      <c r="D18" s="17">
        <v>9998</v>
      </c>
      <c r="E18" s="27">
        <v>0.31706418324999985</v>
      </c>
      <c r="K18">
        <f>INDEX(OutputValues,14,$J$4)</f>
        <v>1</v>
      </c>
    </row>
    <row r="19" spans="1:11" x14ac:dyDescent="0.35">
      <c r="A19" s="17">
        <v>170000</v>
      </c>
      <c r="B19" s="26">
        <v>0</v>
      </c>
      <c r="C19">
        <v>1</v>
      </c>
      <c r="D19" s="17">
        <v>9998</v>
      </c>
      <c r="E19" s="27">
        <v>0.31706418324999985</v>
      </c>
      <c r="K19">
        <f>INDEX(OutputValues,15,$J$4)</f>
        <v>1</v>
      </c>
    </row>
    <row r="20" spans="1:11" x14ac:dyDescent="0.35">
      <c r="A20" s="17">
        <v>175000</v>
      </c>
      <c r="B20" s="26">
        <v>0</v>
      </c>
      <c r="C20">
        <v>1</v>
      </c>
      <c r="D20" s="17">
        <v>9998</v>
      </c>
      <c r="E20" s="27">
        <v>0.31706418324999985</v>
      </c>
      <c r="K20">
        <f>INDEX(OutputValues,16,$J$4)</f>
        <v>1</v>
      </c>
    </row>
    <row r="21" spans="1:11" x14ac:dyDescent="0.35">
      <c r="A21" s="17">
        <v>180000</v>
      </c>
      <c r="B21" s="26">
        <v>0</v>
      </c>
      <c r="C21">
        <v>1</v>
      </c>
      <c r="D21" s="17">
        <v>9998</v>
      </c>
      <c r="E21" s="27">
        <v>0.31706418324999985</v>
      </c>
      <c r="K21">
        <f>INDEX(OutputValues,17,$J$4)</f>
        <v>1</v>
      </c>
    </row>
    <row r="22" spans="1:11" x14ac:dyDescent="0.35">
      <c r="A22" s="17">
        <v>185000</v>
      </c>
      <c r="B22" s="26">
        <v>0</v>
      </c>
      <c r="C22">
        <v>1</v>
      </c>
      <c r="D22" s="17">
        <v>9998</v>
      </c>
      <c r="E22" s="27">
        <v>0.31706418324999985</v>
      </c>
      <c r="K22">
        <f>INDEX(OutputValues,18,$J$4)</f>
        <v>1</v>
      </c>
    </row>
    <row r="23" spans="1:11" x14ac:dyDescent="0.35">
      <c r="A23" s="17">
        <v>190000</v>
      </c>
      <c r="B23" s="26">
        <v>0</v>
      </c>
      <c r="C23">
        <v>1</v>
      </c>
      <c r="D23" s="17">
        <v>9998</v>
      </c>
      <c r="E23" s="27">
        <v>0.31706418324999985</v>
      </c>
      <c r="K23">
        <f>INDEX(OutputValues,19,$J$4)</f>
        <v>1</v>
      </c>
    </row>
    <row r="24" spans="1:11" x14ac:dyDescent="0.35">
      <c r="A24" s="17">
        <v>195000</v>
      </c>
      <c r="B24" s="26">
        <v>0</v>
      </c>
      <c r="C24">
        <v>1</v>
      </c>
      <c r="D24" s="17">
        <v>9998</v>
      </c>
      <c r="E24" s="27">
        <v>0.31706418324999985</v>
      </c>
      <c r="K24">
        <f>INDEX(OutputValues,20,$J$4)</f>
        <v>1</v>
      </c>
    </row>
    <row r="25" spans="1:11" x14ac:dyDescent="0.35">
      <c r="A25" s="17">
        <v>200000</v>
      </c>
      <c r="B25" s="26">
        <v>0</v>
      </c>
      <c r="C25">
        <v>1</v>
      </c>
      <c r="D25" s="17">
        <v>9998</v>
      </c>
      <c r="E25" s="27">
        <v>0.31706418324999985</v>
      </c>
      <c r="K25">
        <f>INDEX(OutputValues,21,$J$4)</f>
        <v>1</v>
      </c>
    </row>
    <row r="26" spans="1:11" x14ac:dyDescent="0.35">
      <c r="A26" s="17">
        <v>205000</v>
      </c>
      <c r="B26" s="26">
        <v>0</v>
      </c>
      <c r="C26">
        <v>1</v>
      </c>
      <c r="D26" s="17">
        <v>9998</v>
      </c>
      <c r="E26" s="27">
        <v>0.31706418324999985</v>
      </c>
      <c r="K26">
        <f>INDEX(OutputValues,22,$J$4)</f>
        <v>1</v>
      </c>
    </row>
    <row r="27" spans="1:11" x14ac:dyDescent="0.35">
      <c r="A27" s="17">
        <v>210000</v>
      </c>
      <c r="B27" s="26">
        <v>0</v>
      </c>
      <c r="C27">
        <v>1</v>
      </c>
      <c r="D27" s="17">
        <v>9998</v>
      </c>
      <c r="E27" s="27">
        <v>0.31706418324999985</v>
      </c>
      <c r="K27">
        <f>INDEX(OutputValues,23,$J$4)</f>
        <v>1</v>
      </c>
    </row>
    <row r="28" spans="1:11" x14ac:dyDescent="0.35">
      <c r="A28" s="17">
        <v>215000</v>
      </c>
      <c r="B28" s="26">
        <v>0</v>
      </c>
      <c r="C28">
        <v>1</v>
      </c>
      <c r="D28" s="17">
        <v>9998</v>
      </c>
      <c r="E28" s="27">
        <v>0.31706418324999985</v>
      </c>
      <c r="K28">
        <f>INDEX(OutputValues,24,$J$4)</f>
        <v>1</v>
      </c>
    </row>
    <row r="29" spans="1:11" x14ac:dyDescent="0.35">
      <c r="A29" s="17">
        <v>220000</v>
      </c>
      <c r="B29" s="26">
        <v>0</v>
      </c>
      <c r="C29">
        <v>1</v>
      </c>
      <c r="D29" s="17">
        <v>9998</v>
      </c>
      <c r="E29" s="27">
        <v>0.31706418324999985</v>
      </c>
      <c r="K29">
        <f>INDEX(OutputValues,25,$J$4)</f>
        <v>1</v>
      </c>
    </row>
    <row r="30" spans="1:11" x14ac:dyDescent="0.35">
      <c r="A30" s="17">
        <v>225000</v>
      </c>
      <c r="B30" s="26">
        <v>0</v>
      </c>
      <c r="C30">
        <v>1</v>
      </c>
      <c r="D30" s="17">
        <v>9998</v>
      </c>
      <c r="E30" s="27">
        <v>0.31706418324999985</v>
      </c>
      <c r="K30">
        <f>INDEX(OutputValues,26,$J$4)</f>
        <v>1</v>
      </c>
    </row>
    <row r="31" spans="1:11" x14ac:dyDescent="0.35">
      <c r="A31" s="17">
        <v>230000</v>
      </c>
      <c r="B31" s="26">
        <v>0</v>
      </c>
      <c r="C31">
        <v>1</v>
      </c>
      <c r="D31" s="17">
        <v>9998</v>
      </c>
      <c r="E31" s="27">
        <v>0.31706418324999985</v>
      </c>
      <c r="K31">
        <f>INDEX(OutputValues,27,$J$4)</f>
        <v>1</v>
      </c>
    </row>
    <row r="32" spans="1:11" x14ac:dyDescent="0.35">
      <c r="A32" s="17">
        <v>235000</v>
      </c>
      <c r="B32" s="26">
        <v>0</v>
      </c>
      <c r="C32">
        <v>1</v>
      </c>
      <c r="D32" s="17">
        <v>9998</v>
      </c>
      <c r="E32" s="27">
        <v>0.31706418324999985</v>
      </c>
      <c r="K32">
        <f>INDEX(OutputValues,28,$J$4)</f>
        <v>1</v>
      </c>
    </row>
    <row r="33" spans="1:11" x14ac:dyDescent="0.35">
      <c r="A33" s="17">
        <v>240000</v>
      </c>
      <c r="B33" s="26">
        <v>0</v>
      </c>
      <c r="C33">
        <v>1</v>
      </c>
      <c r="D33" s="17">
        <v>9998</v>
      </c>
      <c r="E33" s="27">
        <v>0.31706418324999985</v>
      </c>
      <c r="K33">
        <f>INDEX(OutputValues,29,$J$4)</f>
        <v>1</v>
      </c>
    </row>
    <row r="34" spans="1:11" x14ac:dyDescent="0.35">
      <c r="A34" s="17">
        <v>245000</v>
      </c>
      <c r="B34" s="26">
        <v>0</v>
      </c>
      <c r="C34">
        <v>1</v>
      </c>
      <c r="D34" s="17">
        <v>9998</v>
      </c>
      <c r="E34" s="27">
        <v>0.31706418324999985</v>
      </c>
      <c r="K34">
        <f>INDEX(OutputValues,30,$J$4)</f>
        <v>1</v>
      </c>
    </row>
    <row r="35" spans="1:11" x14ac:dyDescent="0.35">
      <c r="A35" s="17">
        <v>250000</v>
      </c>
      <c r="B35" s="26">
        <v>0</v>
      </c>
      <c r="C35">
        <v>1</v>
      </c>
      <c r="D35" s="17">
        <v>9998</v>
      </c>
      <c r="E35" s="27">
        <v>0.31706418324999985</v>
      </c>
      <c r="K35">
        <f>INDEX(OutputValues,31,$J$4)</f>
        <v>1</v>
      </c>
    </row>
    <row r="36" spans="1:11" x14ac:dyDescent="0.35">
      <c r="A36" s="17">
        <v>255000</v>
      </c>
      <c r="B36" s="26">
        <v>0</v>
      </c>
      <c r="C36">
        <v>1</v>
      </c>
      <c r="D36" s="17">
        <v>9998</v>
      </c>
      <c r="E36" s="27">
        <v>0.31706418324999985</v>
      </c>
      <c r="K36">
        <f>INDEX(OutputValues,32,$J$4)</f>
        <v>1</v>
      </c>
    </row>
    <row r="37" spans="1:11" x14ac:dyDescent="0.35">
      <c r="A37" s="17">
        <v>260000</v>
      </c>
      <c r="B37" s="26">
        <v>0</v>
      </c>
      <c r="C37">
        <v>1</v>
      </c>
      <c r="D37" s="17">
        <v>9998</v>
      </c>
      <c r="E37" s="27">
        <v>0.31706418324999985</v>
      </c>
      <c r="K37">
        <f>INDEX(OutputValues,33,$J$4)</f>
        <v>1</v>
      </c>
    </row>
    <row r="38" spans="1:11" x14ac:dyDescent="0.35">
      <c r="A38" s="17">
        <v>265000</v>
      </c>
      <c r="B38" s="26">
        <v>0</v>
      </c>
      <c r="C38">
        <v>1</v>
      </c>
      <c r="D38" s="17">
        <v>9998</v>
      </c>
      <c r="E38" s="27">
        <v>0.31706418324999985</v>
      </c>
      <c r="K38">
        <f>INDEX(OutputValues,34,$J$4)</f>
        <v>1</v>
      </c>
    </row>
    <row r="39" spans="1:11" x14ac:dyDescent="0.35">
      <c r="A39" s="17">
        <v>270000</v>
      </c>
      <c r="B39" s="26">
        <v>0</v>
      </c>
      <c r="C39">
        <v>1</v>
      </c>
      <c r="D39" s="17">
        <v>9998</v>
      </c>
      <c r="E39" s="27">
        <v>0.31706418324999985</v>
      </c>
      <c r="K39">
        <f>INDEX(OutputValues,35,$J$4)</f>
        <v>1</v>
      </c>
    </row>
    <row r="40" spans="1:11" x14ac:dyDescent="0.35">
      <c r="A40" s="17">
        <v>275000</v>
      </c>
      <c r="B40" s="26">
        <v>0</v>
      </c>
      <c r="C40">
        <v>1</v>
      </c>
      <c r="D40" s="17">
        <v>9998</v>
      </c>
      <c r="E40" s="27">
        <v>0.31706418324999985</v>
      </c>
      <c r="K40">
        <f>INDEX(OutputValues,36,$J$4)</f>
        <v>1</v>
      </c>
    </row>
    <row r="41" spans="1:11" x14ac:dyDescent="0.35">
      <c r="A41" s="17">
        <v>280000</v>
      </c>
      <c r="B41" s="26">
        <v>0</v>
      </c>
      <c r="C41">
        <v>1</v>
      </c>
      <c r="D41" s="17">
        <v>9998</v>
      </c>
      <c r="E41" s="27">
        <v>0.31706418324999985</v>
      </c>
      <c r="K41">
        <f>INDEX(OutputValues,37,$J$4)</f>
        <v>1</v>
      </c>
    </row>
    <row r="42" spans="1:11" x14ac:dyDescent="0.35">
      <c r="A42" s="17">
        <v>285000</v>
      </c>
      <c r="B42" s="26">
        <v>0</v>
      </c>
      <c r="C42">
        <v>1</v>
      </c>
      <c r="D42" s="17">
        <v>9998</v>
      </c>
      <c r="E42" s="27">
        <v>0.31706418324999985</v>
      </c>
      <c r="K42">
        <f>INDEX(OutputValues,38,$J$4)</f>
        <v>1</v>
      </c>
    </row>
    <row r="43" spans="1:11" x14ac:dyDescent="0.35">
      <c r="A43" s="17">
        <v>290000</v>
      </c>
      <c r="B43" s="26">
        <v>0</v>
      </c>
      <c r="C43">
        <v>1</v>
      </c>
      <c r="D43" s="17">
        <v>9998</v>
      </c>
      <c r="E43" s="27">
        <v>0.31706418324999985</v>
      </c>
      <c r="K43">
        <f>INDEX(OutputValues,39,$J$4)</f>
        <v>1</v>
      </c>
    </row>
    <row r="44" spans="1:11" x14ac:dyDescent="0.35">
      <c r="A44" s="17">
        <v>295000</v>
      </c>
      <c r="B44" s="26">
        <v>0</v>
      </c>
      <c r="C44">
        <v>1</v>
      </c>
      <c r="D44" s="17">
        <v>9998</v>
      </c>
      <c r="E44" s="27">
        <v>0.31706418324999985</v>
      </c>
      <c r="K44">
        <f>INDEX(OutputValues,40,$J$4)</f>
        <v>1</v>
      </c>
    </row>
    <row r="45" spans="1:11" x14ac:dyDescent="0.35">
      <c r="A45" s="17">
        <v>300000</v>
      </c>
      <c r="B45" s="26">
        <v>0</v>
      </c>
      <c r="C45">
        <v>1</v>
      </c>
      <c r="D45" s="17">
        <v>9998</v>
      </c>
      <c r="E45" s="27">
        <v>0.31706418324999985</v>
      </c>
      <c r="K45">
        <f>INDEX(OutputValues,41,$J$4)</f>
        <v>1</v>
      </c>
    </row>
    <row r="46" spans="1:11" x14ac:dyDescent="0.35">
      <c r="A46" s="17">
        <v>305000</v>
      </c>
      <c r="B46" s="26">
        <v>0</v>
      </c>
      <c r="C46">
        <v>1</v>
      </c>
      <c r="D46" s="17">
        <v>9998</v>
      </c>
      <c r="E46" s="27">
        <v>0.31706418324999985</v>
      </c>
      <c r="K46">
        <f>INDEX(OutputValues,42,$J$4)</f>
        <v>1</v>
      </c>
    </row>
    <row r="47" spans="1:11" x14ac:dyDescent="0.35">
      <c r="A47" s="17">
        <v>310000</v>
      </c>
      <c r="B47" s="26">
        <v>0</v>
      </c>
      <c r="C47">
        <v>1</v>
      </c>
      <c r="D47" s="17">
        <v>9998</v>
      </c>
      <c r="E47" s="27">
        <v>0.31706418324999985</v>
      </c>
      <c r="K47">
        <f>INDEX(OutputValues,43,$J$4)</f>
        <v>1</v>
      </c>
    </row>
    <row r="48" spans="1:11" x14ac:dyDescent="0.35">
      <c r="A48" s="17">
        <v>315000</v>
      </c>
      <c r="B48" s="26">
        <v>0</v>
      </c>
      <c r="C48">
        <v>1</v>
      </c>
      <c r="D48" s="17">
        <v>9998</v>
      </c>
      <c r="E48" s="27">
        <v>0.31706418324999985</v>
      </c>
      <c r="K48">
        <f>INDEX(OutputValues,44,$J$4)</f>
        <v>1</v>
      </c>
    </row>
    <row r="49" spans="1:11" x14ac:dyDescent="0.35">
      <c r="A49" s="17">
        <v>320000</v>
      </c>
      <c r="B49" s="26">
        <v>0</v>
      </c>
      <c r="C49">
        <v>1</v>
      </c>
      <c r="D49" s="17">
        <v>9998</v>
      </c>
      <c r="E49" s="27">
        <v>0.31706418324999985</v>
      </c>
      <c r="K49">
        <f>INDEX(OutputValues,45,$J$4)</f>
        <v>1</v>
      </c>
    </row>
    <row r="50" spans="1:11" x14ac:dyDescent="0.35">
      <c r="A50" s="17">
        <v>325000</v>
      </c>
      <c r="B50" s="26">
        <v>0</v>
      </c>
      <c r="C50">
        <v>1</v>
      </c>
      <c r="D50" s="17">
        <v>9998</v>
      </c>
      <c r="E50" s="27">
        <v>0.31706418324999985</v>
      </c>
      <c r="K50">
        <f>INDEX(OutputValues,46,$J$4)</f>
        <v>1</v>
      </c>
    </row>
    <row r="51" spans="1:11" x14ac:dyDescent="0.35">
      <c r="A51" s="17">
        <v>330000</v>
      </c>
      <c r="B51" s="26">
        <v>0</v>
      </c>
      <c r="C51">
        <v>1</v>
      </c>
      <c r="D51" s="17">
        <v>9998</v>
      </c>
      <c r="E51" s="27">
        <v>0.31706418324999985</v>
      </c>
      <c r="K51">
        <f>INDEX(OutputValues,47,$J$4)</f>
        <v>1</v>
      </c>
    </row>
    <row r="52" spans="1:11" x14ac:dyDescent="0.35">
      <c r="A52" s="17">
        <v>335000</v>
      </c>
      <c r="B52" s="26">
        <v>0</v>
      </c>
      <c r="C52">
        <v>1</v>
      </c>
      <c r="D52" s="17">
        <v>9998</v>
      </c>
      <c r="E52" s="27">
        <v>0.31706418324999985</v>
      </c>
      <c r="K52">
        <f>INDEX(OutputValues,48,$J$4)</f>
        <v>1</v>
      </c>
    </row>
    <row r="53" spans="1:11" x14ac:dyDescent="0.35">
      <c r="A53" s="17">
        <v>340000</v>
      </c>
      <c r="B53" s="26">
        <v>0</v>
      </c>
      <c r="C53">
        <v>1</v>
      </c>
      <c r="D53" s="17">
        <v>9998</v>
      </c>
      <c r="E53" s="27">
        <v>0.31706418324999985</v>
      </c>
      <c r="K53">
        <f>INDEX(OutputValues,49,$J$4)</f>
        <v>1</v>
      </c>
    </row>
    <row r="54" spans="1:11" x14ac:dyDescent="0.35">
      <c r="A54" s="17">
        <v>345000</v>
      </c>
      <c r="B54" s="26">
        <v>0</v>
      </c>
      <c r="C54">
        <v>1</v>
      </c>
      <c r="D54" s="17">
        <v>9998</v>
      </c>
      <c r="E54" s="27">
        <v>0.31706418324999985</v>
      </c>
      <c r="K54">
        <f>INDEX(OutputValues,50,$J$4)</f>
        <v>1</v>
      </c>
    </row>
    <row r="55" spans="1:11" x14ac:dyDescent="0.35">
      <c r="A55" s="17">
        <v>350000</v>
      </c>
      <c r="B55" s="26">
        <v>0</v>
      </c>
      <c r="C55">
        <v>1</v>
      </c>
      <c r="D55" s="17">
        <v>9998</v>
      </c>
      <c r="E55" s="27">
        <v>0.31706418324999985</v>
      </c>
      <c r="K55">
        <f>INDEX(OutputValues,51,$J$4)</f>
        <v>1</v>
      </c>
    </row>
    <row r="56" spans="1:11" x14ac:dyDescent="0.35">
      <c r="A56" s="17">
        <v>355000</v>
      </c>
      <c r="B56" s="26">
        <v>0</v>
      </c>
      <c r="C56">
        <v>1</v>
      </c>
      <c r="D56" s="17">
        <v>9998</v>
      </c>
      <c r="E56" s="27">
        <v>0.31706418324999985</v>
      </c>
      <c r="K56">
        <f>INDEX(OutputValues,52,$J$4)</f>
        <v>1</v>
      </c>
    </row>
    <row r="57" spans="1:11" x14ac:dyDescent="0.35">
      <c r="A57" s="17">
        <v>360000</v>
      </c>
      <c r="B57" s="26">
        <v>0</v>
      </c>
      <c r="C57">
        <v>1</v>
      </c>
      <c r="D57" s="17">
        <v>9998</v>
      </c>
      <c r="E57" s="27">
        <v>0.31706418324999985</v>
      </c>
      <c r="K57">
        <f>INDEX(OutputValues,53,$J$4)</f>
        <v>1</v>
      </c>
    </row>
    <row r="58" spans="1:11" x14ac:dyDescent="0.35">
      <c r="A58" s="17">
        <v>365000</v>
      </c>
      <c r="B58" s="26">
        <v>0</v>
      </c>
      <c r="C58">
        <v>1</v>
      </c>
      <c r="D58" s="17">
        <v>9998</v>
      </c>
      <c r="E58" s="27">
        <v>0.31706418324999985</v>
      </c>
      <c r="K58">
        <f>INDEX(OutputValues,54,$J$4)</f>
        <v>1</v>
      </c>
    </row>
    <row r="59" spans="1:11" x14ac:dyDescent="0.35">
      <c r="A59" s="17">
        <v>370000</v>
      </c>
      <c r="B59" s="26">
        <v>0</v>
      </c>
      <c r="C59">
        <v>1</v>
      </c>
      <c r="D59" s="17">
        <v>9998</v>
      </c>
      <c r="E59" s="27">
        <v>0.31706418324999985</v>
      </c>
      <c r="K59">
        <f>INDEX(OutputValues,55,$J$4)</f>
        <v>1</v>
      </c>
    </row>
    <row r="60" spans="1:11" x14ac:dyDescent="0.35">
      <c r="A60" s="17">
        <v>375000</v>
      </c>
      <c r="B60" s="26">
        <v>0</v>
      </c>
      <c r="C60">
        <v>1</v>
      </c>
      <c r="D60" s="17">
        <v>9998</v>
      </c>
      <c r="E60" s="27">
        <v>0.31706418324999985</v>
      </c>
      <c r="K60">
        <f>INDEX(OutputValues,56,$J$4)</f>
        <v>1</v>
      </c>
    </row>
    <row r="61" spans="1:11" x14ac:dyDescent="0.35">
      <c r="A61" s="17">
        <v>380000</v>
      </c>
      <c r="B61" s="26">
        <v>0</v>
      </c>
      <c r="C61">
        <v>1</v>
      </c>
      <c r="D61" s="17">
        <v>9998</v>
      </c>
      <c r="E61" s="27">
        <v>0.31706418324999985</v>
      </c>
      <c r="K61">
        <f>INDEX(OutputValues,57,$J$4)</f>
        <v>1</v>
      </c>
    </row>
    <row r="62" spans="1:11" x14ac:dyDescent="0.35">
      <c r="A62" s="17">
        <v>385000</v>
      </c>
      <c r="B62" s="26">
        <v>0</v>
      </c>
      <c r="C62">
        <v>1</v>
      </c>
      <c r="D62" s="17">
        <v>9998</v>
      </c>
      <c r="E62" s="27">
        <v>0.31706418324999985</v>
      </c>
      <c r="K62">
        <f>INDEX(OutputValues,58,$J$4)</f>
        <v>1</v>
      </c>
    </row>
    <row r="63" spans="1:11" x14ac:dyDescent="0.35">
      <c r="A63" s="17">
        <v>390000</v>
      </c>
      <c r="B63" s="26">
        <v>0</v>
      </c>
      <c r="C63">
        <v>1</v>
      </c>
      <c r="D63" s="17">
        <v>9998</v>
      </c>
      <c r="E63" s="27">
        <v>0.31706418324999985</v>
      </c>
      <c r="K63">
        <f>INDEX(OutputValues,59,$J$4)</f>
        <v>1</v>
      </c>
    </row>
    <row r="64" spans="1:11" x14ac:dyDescent="0.35">
      <c r="A64" s="17">
        <v>395000</v>
      </c>
      <c r="B64" s="26">
        <v>0</v>
      </c>
      <c r="C64">
        <v>1</v>
      </c>
      <c r="D64" s="17">
        <v>9998</v>
      </c>
      <c r="E64" s="27">
        <v>0.31706418324999985</v>
      </c>
      <c r="K64">
        <f>INDEX(OutputValues,60,$J$4)</f>
        <v>1</v>
      </c>
    </row>
    <row r="65" spans="1:11" x14ac:dyDescent="0.35">
      <c r="A65" s="17">
        <v>400000</v>
      </c>
      <c r="B65" s="26">
        <v>0</v>
      </c>
      <c r="C65">
        <v>1</v>
      </c>
      <c r="D65" s="17">
        <v>9998</v>
      </c>
      <c r="E65" s="27">
        <v>0.31706418324999985</v>
      </c>
      <c r="K65">
        <f>INDEX(OutputValues,61,$J$4)</f>
        <v>1</v>
      </c>
    </row>
    <row r="66" spans="1:11" x14ac:dyDescent="0.35">
      <c r="A66" s="17">
        <v>405000</v>
      </c>
      <c r="B66" s="26">
        <v>0</v>
      </c>
      <c r="C66">
        <v>1</v>
      </c>
      <c r="D66" s="17">
        <v>9998</v>
      </c>
      <c r="E66" s="27">
        <v>0.31706418324999985</v>
      </c>
      <c r="K66">
        <f>INDEX(OutputValues,62,$J$4)</f>
        <v>1</v>
      </c>
    </row>
    <row r="67" spans="1:11" x14ac:dyDescent="0.35">
      <c r="A67" s="17">
        <v>410000</v>
      </c>
      <c r="B67" s="26">
        <v>0</v>
      </c>
      <c r="C67">
        <v>1</v>
      </c>
      <c r="D67" s="17">
        <v>9998</v>
      </c>
      <c r="E67" s="27">
        <v>0.31706418324999985</v>
      </c>
      <c r="K67">
        <f>INDEX(OutputValues,63,$J$4)</f>
        <v>1</v>
      </c>
    </row>
    <row r="68" spans="1:11" x14ac:dyDescent="0.35">
      <c r="A68" s="17">
        <v>415000</v>
      </c>
      <c r="B68" s="26">
        <v>0</v>
      </c>
      <c r="C68">
        <v>1</v>
      </c>
      <c r="D68" s="17">
        <v>9998</v>
      </c>
      <c r="E68" s="27">
        <v>0.31706418324999985</v>
      </c>
      <c r="K68">
        <f>INDEX(OutputValues,64,$J$4)</f>
        <v>1</v>
      </c>
    </row>
    <row r="69" spans="1:11" x14ac:dyDescent="0.35">
      <c r="A69" s="17">
        <v>420000</v>
      </c>
      <c r="B69" s="26">
        <v>0</v>
      </c>
      <c r="C69">
        <v>1</v>
      </c>
      <c r="D69" s="17">
        <v>9998</v>
      </c>
      <c r="E69" s="27">
        <v>0.31706418324999985</v>
      </c>
      <c r="K69">
        <f>INDEX(OutputValues,65,$J$4)</f>
        <v>1</v>
      </c>
    </row>
    <row r="70" spans="1:11" x14ac:dyDescent="0.35">
      <c r="A70" s="17">
        <v>425000</v>
      </c>
      <c r="B70" s="26">
        <v>0</v>
      </c>
      <c r="C70">
        <v>1</v>
      </c>
      <c r="D70" s="17">
        <v>9998</v>
      </c>
      <c r="E70" s="27">
        <v>0.31706418324999985</v>
      </c>
      <c r="K70">
        <f>INDEX(OutputValues,66,$J$4)</f>
        <v>1</v>
      </c>
    </row>
    <row r="71" spans="1:11" x14ac:dyDescent="0.35">
      <c r="A71" s="17">
        <v>430000</v>
      </c>
      <c r="B71" s="26">
        <v>0</v>
      </c>
      <c r="C71">
        <v>1</v>
      </c>
      <c r="D71" s="17">
        <v>9998</v>
      </c>
      <c r="E71" s="27">
        <v>0.31706418324999985</v>
      </c>
      <c r="K71">
        <f>INDEX(OutputValues,67,$J$4)</f>
        <v>1</v>
      </c>
    </row>
    <row r="72" spans="1:11" x14ac:dyDescent="0.35">
      <c r="A72" s="17">
        <v>435000</v>
      </c>
      <c r="B72" s="26">
        <v>0</v>
      </c>
      <c r="C72">
        <v>1</v>
      </c>
      <c r="D72" s="17">
        <v>9998</v>
      </c>
      <c r="E72" s="27">
        <v>0.31706418324999985</v>
      </c>
      <c r="K72">
        <f>INDEX(OutputValues,68,$J$4)</f>
        <v>1</v>
      </c>
    </row>
    <row r="73" spans="1:11" x14ac:dyDescent="0.35">
      <c r="A73" s="17">
        <v>440000</v>
      </c>
      <c r="B73" s="26">
        <v>0</v>
      </c>
      <c r="C73">
        <v>1</v>
      </c>
      <c r="D73" s="17">
        <v>9998</v>
      </c>
      <c r="E73" s="27">
        <v>0.31706418324999985</v>
      </c>
      <c r="K73">
        <f>INDEX(OutputValues,69,$J$4)</f>
        <v>1</v>
      </c>
    </row>
    <row r="74" spans="1:11" x14ac:dyDescent="0.35">
      <c r="A74" s="17">
        <v>445000</v>
      </c>
      <c r="B74" s="26">
        <v>0</v>
      </c>
      <c r="C74">
        <v>1</v>
      </c>
      <c r="D74" s="17">
        <v>9998</v>
      </c>
      <c r="E74" s="27">
        <v>0.31706418324999985</v>
      </c>
      <c r="K74">
        <f>INDEX(OutputValues,70,$J$4)</f>
        <v>1</v>
      </c>
    </row>
    <row r="75" spans="1:11" x14ac:dyDescent="0.35">
      <c r="A75" s="17">
        <v>450000</v>
      </c>
      <c r="B75" s="26">
        <v>0</v>
      </c>
      <c r="C75">
        <v>1</v>
      </c>
      <c r="D75" s="17">
        <v>9998</v>
      </c>
      <c r="E75" s="27">
        <v>0.31706418324999985</v>
      </c>
      <c r="K75">
        <f>INDEX(OutputValues,71,$J$4)</f>
        <v>1</v>
      </c>
    </row>
    <row r="76" spans="1:11" x14ac:dyDescent="0.35">
      <c r="A76" s="17">
        <v>455000</v>
      </c>
      <c r="B76" s="26">
        <v>0</v>
      </c>
      <c r="C76">
        <v>1</v>
      </c>
      <c r="D76" s="17">
        <v>9998</v>
      </c>
      <c r="E76" s="27">
        <v>0.31706418324999985</v>
      </c>
      <c r="K76">
        <f>INDEX(OutputValues,72,$J$4)</f>
        <v>1</v>
      </c>
    </row>
    <row r="77" spans="1:11" x14ac:dyDescent="0.35">
      <c r="A77" s="17">
        <v>460000</v>
      </c>
      <c r="B77" s="26">
        <v>0</v>
      </c>
      <c r="C77">
        <v>1</v>
      </c>
      <c r="D77" s="17">
        <v>9998</v>
      </c>
      <c r="E77" s="27">
        <v>0.31706418324999985</v>
      </c>
      <c r="K77">
        <f>INDEX(OutputValues,73,$J$4)</f>
        <v>1</v>
      </c>
    </row>
    <row r="78" spans="1:11" x14ac:dyDescent="0.35">
      <c r="A78" s="17">
        <v>465000</v>
      </c>
      <c r="B78" s="26">
        <v>0</v>
      </c>
      <c r="C78">
        <v>1</v>
      </c>
      <c r="D78" s="17">
        <v>9998</v>
      </c>
      <c r="E78" s="27">
        <v>0.31706418324999985</v>
      </c>
      <c r="K78">
        <f>INDEX(OutputValues,74,$J$4)</f>
        <v>1</v>
      </c>
    </row>
    <row r="79" spans="1:11" x14ac:dyDescent="0.35">
      <c r="A79" s="17">
        <v>470000</v>
      </c>
      <c r="B79" s="26">
        <v>0</v>
      </c>
      <c r="C79">
        <v>1</v>
      </c>
      <c r="D79" s="17">
        <v>9998</v>
      </c>
      <c r="E79" s="27">
        <v>0.31706418324999985</v>
      </c>
      <c r="K79">
        <f>INDEX(OutputValues,75,$J$4)</f>
        <v>1</v>
      </c>
    </row>
    <row r="80" spans="1:11" x14ac:dyDescent="0.35">
      <c r="A80" s="17">
        <v>475000</v>
      </c>
      <c r="B80" s="26">
        <v>0</v>
      </c>
      <c r="C80">
        <v>1</v>
      </c>
      <c r="D80" s="17">
        <v>9998</v>
      </c>
      <c r="E80" s="27">
        <v>0.31706418324999985</v>
      </c>
      <c r="K80">
        <f>INDEX(OutputValues,76,$J$4)</f>
        <v>1</v>
      </c>
    </row>
    <row r="81" spans="1:11" x14ac:dyDescent="0.35">
      <c r="A81" s="17">
        <v>480000</v>
      </c>
      <c r="B81" s="26">
        <v>0</v>
      </c>
      <c r="C81">
        <v>1</v>
      </c>
      <c r="D81" s="17">
        <v>9998</v>
      </c>
      <c r="E81" s="27">
        <v>0.31706418324999985</v>
      </c>
      <c r="K81">
        <f>INDEX(OutputValues,77,$J$4)</f>
        <v>1</v>
      </c>
    </row>
    <row r="82" spans="1:11" x14ac:dyDescent="0.35">
      <c r="A82" s="17">
        <v>485000</v>
      </c>
      <c r="B82" s="26">
        <v>0</v>
      </c>
      <c r="C82">
        <v>1</v>
      </c>
      <c r="D82" s="17">
        <v>9998</v>
      </c>
      <c r="E82" s="27">
        <v>0.31706418324999985</v>
      </c>
      <c r="K82">
        <f>INDEX(OutputValues,78,$J$4)</f>
        <v>1</v>
      </c>
    </row>
    <row r="83" spans="1:11" x14ac:dyDescent="0.35">
      <c r="A83" s="17">
        <v>490000</v>
      </c>
      <c r="B83" s="26">
        <v>0</v>
      </c>
      <c r="C83">
        <v>1</v>
      </c>
      <c r="D83" s="17">
        <v>9998</v>
      </c>
      <c r="E83" s="27">
        <v>0.31706418324999985</v>
      </c>
      <c r="K83">
        <f>INDEX(OutputValues,79,$J$4)</f>
        <v>1</v>
      </c>
    </row>
    <row r="84" spans="1:11" x14ac:dyDescent="0.35">
      <c r="A84" s="17">
        <v>495000</v>
      </c>
      <c r="B84" s="26">
        <v>0</v>
      </c>
      <c r="C84">
        <v>1</v>
      </c>
      <c r="D84" s="17">
        <v>9998</v>
      </c>
      <c r="E84" s="27">
        <v>0.31706418324999985</v>
      </c>
      <c r="K84">
        <f>INDEX(OutputValues,80,$J$4)</f>
        <v>1</v>
      </c>
    </row>
    <row r="85" spans="1:11" x14ac:dyDescent="0.35">
      <c r="A85" s="17">
        <v>500000</v>
      </c>
      <c r="B85" s="28">
        <v>0</v>
      </c>
      <c r="C85" s="22">
        <v>1</v>
      </c>
      <c r="D85" s="29">
        <v>9998</v>
      </c>
      <c r="E85" s="30">
        <v>0.31706418324999985</v>
      </c>
      <c r="K85">
        <f>INDEX(OutputValues,81,$J$4)</f>
        <v>1</v>
      </c>
    </row>
  </sheetData>
  <dataValidations count="1">
    <dataValidation type="list" allowBlank="1" showInputMessage="1" showErrorMessage="1" sqref="K4" xr:uid="{09AAE57E-A6A2-4D88-A14F-DF47D32F1DAB}">
      <formula1>OutputAddresses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STS_1</vt:lpstr>
      <vt:lpstr>STS_1!ChartData</vt:lpstr>
      <vt:lpstr>STS_1!InputValues</vt:lpstr>
      <vt:lpstr>STS_1!OutputAddresses</vt:lpstr>
      <vt:lpstr>STS_1!OutputValues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 abdikebir</dc:creator>
  <cp:lastModifiedBy>shaima abdikebir</cp:lastModifiedBy>
  <dcterms:created xsi:type="dcterms:W3CDTF">2024-11-01T03:20:49Z</dcterms:created>
  <dcterms:modified xsi:type="dcterms:W3CDTF">2024-11-04T18:12:10Z</dcterms:modified>
</cp:coreProperties>
</file>